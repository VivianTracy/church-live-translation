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Before" sheetId="2" state="visible" r:id="rId2"/>
    <sheet name="During" sheetId="3" state="visible" r:id="rId3"/>
    <sheet name="Latency" sheetId="4" state="visible" r:id="rId4"/>
    <sheet name="Smoothness" sheetId="5" state="visible" r:id="rId5"/>
    <sheet name="After" sheetId="6" state="visible" r:id="rId6"/>
  </sheets>
  <definedNames>
    <definedName name="_xlnm.Print_Titles" localSheetId="0">'Start here'!$1:$2</definedName>
    <definedName name="_xlnm._FilterDatabase" localSheetId="1" hidden="1">'Before'!$A$4:$E$12</definedName>
    <definedName name="_xlnm.Print_Titles" localSheetId="1">'Before'!$1:$4</definedName>
    <definedName name="_xlnm._FilterDatabase" localSheetId="2" hidden="1">'During'!$A$4:$F$84</definedName>
    <definedName name="_xlnm.Print_Titles" localSheetId="2">'During'!$1:$4</definedName>
    <definedName name="_xlnm.Print_Titles" localSheetId="3">'Latency'!$1:$4</definedName>
    <definedName name="_xlnm.Print_Titles" localSheetId="5">'After'!$1:$2</definedName>
  </definedNames>
  <calcPr calcId="124519" calcMode="auto"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Calibri"/>
      <b val="1"/>
      <color rgb="001F4D3A"/>
      <sz val="20"/>
    </font>
    <font>
      <name val="Calibri"/>
      <i val="1"/>
      <color rgb="005C6B64"/>
      <sz val="11"/>
    </font>
    <font>
      <name val="Calibri"/>
      <b val="1"/>
      <color rgb="001F4D3A"/>
      <sz val="14"/>
    </font>
    <font>
      <name val="Calibri"/>
      <b val="1"/>
      <color rgb="001C2421"/>
      <sz val="11"/>
    </font>
    <font>
      <name val="Calibri"/>
      <color rgb="001C2421"/>
      <sz val="11"/>
    </font>
    <font>
      <name val="Calibri"/>
      <b val="1"/>
      <color rgb="00FFFFFF"/>
      <sz val="11"/>
    </font>
    <font>
      <name val="Calibri"/>
      <b val="1"/>
      <color rgb="001F4D3A"/>
      <sz val="16"/>
    </font>
  </fonts>
  <fills count="7">
    <fill>
      <patternFill/>
    </fill>
    <fill>
      <patternFill patternType="gray125"/>
    </fill>
    <fill>
      <patternFill patternType="solid">
        <fgColor rgb="00FFF8E8"/>
      </patternFill>
    </fill>
    <fill>
      <patternFill patternType="solid">
        <fgColor rgb="001F4D3A"/>
      </patternFill>
    </fill>
    <fill>
      <patternFill patternType="solid">
        <fgColor rgb="00E7F2EC"/>
      </patternFill>
    </fill>
    <fill>
      <patternFill patternType="solid">
        <fgColor rgb="00EEF3F1"/>
      </patternFill>
    </fill>
    <fill>
      <patternFill patternType="solid">
        <fgColor rgb="00FFFFFF"/>
      </patternFill>
    </fill>
  </fills>
  <borders count="11">
    <border>
      <left/>
      <right/>
      <top/>
      <bottom/>
      <diagonal/>
    </border>
    <border>
      <left style="thin">
        <color rgb="00D5DDD8"/>
      </left>
      <right style="thin">
        <color rgb="00D5DDD8"/>
      </right>
      <top style="thin">
        <color rgb="00D5DDD8"/>
      </top>
      <bottom style="thin">
        <color rgb="00D5DDD8"/>
      </bottom>
    </border>
    <border>
      <left/>
      <right/>
      <top style="thin">
        <color rgb="00D5DDD8"/>
      </top>
      <bottom/>
      <diagonal/>
    </border>
    <border>
      <left/>
      <right style="thin">
        <color rgb="00D5DDD8"/>
      </right>
      <top style="thin">
        <color rgb="00D5DDD8"/>
      </top>
      <bottom/>
      <diagonal/>
    </border>
    <border>
      <left/>
      <right/>
      <top style="thin">
        <color rgb="00D5DDD8"/>
      </top>
      <bottom style="thin">
        <color rgb="00D5DDD8"/>
      </bottom>
      <diagonal/>
    </border>
    <border>
      <left/>
      <right style="thin">
        <color rgb="00D5DDD8"/>
      </right>
      <top style="thin">
        <color rgb="00D5DDD8"/>
      </top>
      <bottom style="thin">
        <color rgb="00D5DDD8"/>
      </bottom>
      <diagonal/>
    </border>
    <border>
      <left style="thin">
        <color rgb="00D5DDD8"/>
      </left>
      <right/>
      <top/>
      <bottom/>
      <diagonal/>
    </border>
    <border>
      <left/>
      <right style="thin">
        <color rgb="00D5DDD8"/>
      </right>
      <top/>
      <bottom/>
      <diagonal/>
    </border>
    <border>
      <left style="thin">
        <color rgb="00D5DDD8"/>
      </left>
      <right/>
      <top/>
      <bottom style="thin">
        <color rgb="00D5DDD8"/>
      </bottom>
      <diagonal/>
    </border>
    <border>
      <left/>
      <right/>
      <top/>
      <bottom style="thin">
        <color rgb="00D5DDD8"/>
      </bottom>
      <diagonal/>
    </border>
    <border>
      <left/>
      <right style="thin">
        <color rgb="00D5DDD8"/>
      </right>
      <top/>
      <bottom style="thin">
        <color rgb="00D5DDD8"/>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center" wrapText="1"/>
    </xf>
    <xf numFmtId="0" fontId="5" fillId="2" borderId="1" applyAlignment="1" pivotButton="0" quotePrefix="0" xfId="0">
      <alignment horizontal="left" vertical="center" wrapText="1"/>
    </xf>
    <xf numFmtId="0" fontId="0" fillId="2" borderId="1" pivotButton="0" quotePrefix="0" xfId="0"/>
    <xf numFmtId="0" fontId="5" fillId="0"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2" borderId="1" applyAlignment="1" pivotButton="0" quotePrefix="0" xfId="0">
      <alignment horizontal="center" vertical="center" wrapText="1"/>
    </xf>
    <xf numFmtId="0" fontId="2" fillId="0" borderId="0" applyAlignment="1" pivotButton="0" quotePrefix="0" xfId="0">
      <alignment horizontal="left" vertical="top" wrapText="1"/>
    </xf>
    <xf numFmtId="1" fontId="5" fillId="2" borderId="1" applyAlignment="1" pivotButton="0" quotePrefix="0" xfId="0">
      <alignment horizontal="center" vertical="center" wrapText="1"/>
    </xf>
    <xf numFmtId="1" fontId="5" fillId="5" borderId="1" applyAlignment="1" pivotButton="0" quotePrefix="0" xfId="0">
      <alignment horizontal="center" vertical="center" wrapText="1"/>
    </xf>
    <xf numFmtId="0" fontId="4" fillId="4" borderId="1" applyAlignment="1" pivotButton="0" quotePrefix="0" xfId="0">
      <alignment horizontal="left" vertical="center" wrapText="1"/>
    </xf>
    <xf numFmtId="164" fontId="5" fillId="5" borderId="1" applyAlignment="1" pivotButton="0" quotePrefix="0" xfId="0">
      <alignment horizontal="center" vertical="center" wrapText="1"/>
    </xf>
    <xf numFmtId="0" fontId="0" fillId="5" borderId="1" pivotButton="0" quotePrefix="0" xfId="0"/>
    <xf numFmtId="165" fontId="7"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2" borderId="1" applyAlignment="1" pivotButton="0" quotePrefix="0" xfId="0">
      <alignment horizontal="left" vertical="top"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dxfs count="2">
    <dxf>
      <font>
        <name val="Calibri"/>
        <b val="1"/>
        <color rgb="001F4D3A"/>
        <sz val="11"/>
      </font>
      <fill>
        <patternFill patternType="solid">
          <fgColor rgb="00D9EFE3"/>
        </patternFill>
      </fill>
    </dxf>
    <dxf>
      <font>
        <name val="Calibri"/>
        <b val="1"/>
        <color rgb="008A2B24"/>
        <sz val="11"/>
      </font>
      <fill>
        <patternFill patternType="solid">
          <fgColor rgb="00F8D7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9"/>
  <sheetViews>
    <sheetView showGridLines="0" zoomScale="120" workbookViewId="0">
      <pane ySplit="3" topLeftCell="A4" activePane="bottomLeft" state="frozen"/>
      <selection pane="bottomLeft" activeCell="A1" sqref="A1"/>
    </sheetView>
  </sheetViews>
  <sheetFormatPr baseColWidth="8" defaultRowHeight="15"/>
  <cols>
    <col width="32" customWidth="1" min="1" max="1"/>
    <col width="28" customWidth="1" min="2" max="2"/>
    <col width="28" customWidth="1" min="3" max="3"/>
    <col width="28" customWidth="1" min="4" max="4"/>
  </cols>
  <sheetData>
    <row r="1" ht="28" customHeight="1">
      <c r="A1" s="1" t="inlineStr">
        <is>
          <t>Sunday user test</t>
        </is>
      </c>
    </row>
    <row r="2">
      <c r="A2" s="2" t="inlineStr">
        <is>
          <t>One 40-minute sermon, in Chinese or in English. Yellow cells are for writing. Gray cells calculate.</t>
        </is>
      </c>
    </row>
    <row r="3"/>
    <row r="4">
      <c r="A4" s="3" t="inlineStr">
        <is>
          <t>Session</t>
        </is>
      </c>
    </row>
    <row r="5" ht="22" customHeight="1">
      <c r="A5" s="4" t="inlineStr">
        <is>
          <t>Date</t>
        </is>
      </c>
      <c r="B5" s="5" t="n"/>
      <c r="C5" s="24" t="n"/>
      <c r="D5" s="25" t="n"/>
    </row>
    <row r="6" ht="22" customHeight="1">
      <c r="A6" s="4" t="inlineStr">
        <is>
          <t>Church</t>
        </is>
      </c>
      <c r="B6" s="5" t="n"/>
      <c r="C6" s="24" t="n"/>
      <c r="D6" s="25" t="n"/>
    </row>
    <row r="7" ht="22" customHeight="1">
      <c r="A7" s="4" t="inlineStr">
        <is>
          <t>Sermon language</t>
        </is>
      </c>
      <c r="B7" s="5" t="inlineStr">
        <is>
          <t>Chinese</t>
        </is>
      </c>
      <c r="C7" s="24" t="n"/>
      <c r="D7" s="25" t="n"/>
    </row>
    <row r="8" ht="22" customHeight="1">
      <c r="A8" s="4" t="inlineStr">
        <is>
          <t>Headset direction</t>
        </is>
      </c>
      <c r="B8" s="5" t="inlineStr">
        <is>
          <t>Chinese → English</t>
        </is>
      </c>
      <c r="C8" s="24" t="n"/>
      <c r="D8" s="25" t="n"/>
    </row>
    <row r="9" ht="22" customHeight="1">
      <c r="A9" s="4" t="inlineStr">
        <is>
          <t>Operator</t>
        </is>
      </c>
      <c r="B9" s="5" t="n"/>
      <c r="C9" s="24" t="n"/>
      <c r="D9" s="25" t="n"/>
    </row>
    <row r="10" ht="22" customHeight="1">
      <c r="A10" s="4" t="inlineStr">
        <is>
          <t>Listener</t>
        </is>
      </c>
      <c r="B10" s="5" t="n"/>
      <c r="C10" s="24" t="n"/>
      <c r="D10" s="25" t="n"/>
    </row>
    <row r="11"/>
    <row r="12">
      <c r="A12" s="3" t="inlineStr">
        <is>
          <t>Order</t>
        </is>
      </c>
    </row>
    <row r="13" ht="20" customHeight="1">
      <c r="A13" s="7" t="inlineStr">
        <is>
          <t>1. Fill in Before before the sermon starts. Click Test sound and confirm the chime.</t>
        </is>
      </c>
    </row>
    <row r="14" ht="20" customHeight="1">
      <c r="A14" s="7" t="inlineStr">
        <is>
          <t>2. On During, log each problem as it happens. Pick one type per row.</t>
        </is>
      </c>
    </row>
    <row r="15" ht="20" customHeight="1">
      <c r="A15" s="7" t="inlineStr">
        <is>
          <t>3. On Latency, around minutes 10, 20, 30, and 40, write how far behind the headset is.</t>
        </is>
      </c>
    </row>
    <row r="16" ht="20" customHeight="1">
      <c r="A16" s="7" t="inlineStr">
        <is>
          <t>4. On Smoothness, the operator counts connection problems. Leave 0 when nothing happened.</t>
        </is>
      </c>
    </row>
    <row r="17" ht="20" customHeight="1">
      <c r="A17" s="7" t="inlineStr">
        <is>
          <t>5. After the sermon, open After. Accuracy, glitches, breaks, lag, and the listener matrix are already totaled.</t>
        </is>
      </c>
    </row>
    <row r="18"/>
    <row r="19">
      <c r="A19" s="3" t="inlineStr">
        <is>
          <t>What to write down</t>
        </is>
      </c>
    </row>
    <row r="20" ht="36" customHeight="1">
      <c r="A20" s="8" t="inlineStr">
        <is>
          <t>Wrong meaning</t>
        </is>
      </c>
      <c r="B20" s="9" t="inlineStr">
        <is>
          <t>The headset said the wrong idea. How many is the number of sentences.</t>
        </is>
      </c>
    </row>
    <row r="21" ht="36" customHeight="1">
      <c r="A21" s="8" t="inlineStr">
        <is>
          <t>Name / number / verse</t>
        </is>
      </c>
      <c r="B21" s="9" t="inlineStr">
        <is>
          <t>A person, a number, or a Bible reference was wrong. Church listeners notice these immediately.</t>
        </is>
      </c>
    </row>
    <row r="22" ht="36" customHeight="1">
      <c r="A22" s="8" t="inlineStr">
        <is>
          <t>Glitch</t>
        </is>
      </c>
      <c r="B22" s="9" t="inlineStr">
        <is>
          <t>Repeated phrase, cut-off word, garbled speech, or a volume jump. Write 1 unless several sentences were affected.</t>
        </is>
      </c>
    </row>
    <row r="23" ht="36" customHeight="1">
      <c r="A23" s="8" t="inlineStr">
        <is>
          <t>Break</t>
        </is>
      </c>
      <c r="B23" s="9" t="inlineStr">
        <is>
          <t>Translation audio stopped while the preacher was still talking. How many is the preacher sentences with no headset audio.</t>
        </is>
      </c>
    </row>
    <row r="24" ht="36" customHeight="1">
      <c r="A24" s="8" t="inlineStr">
        <is>
          <t>Voice change</t>
        </is>
      </c>
      <c r="B24" s="9" t="inlineStr">
        <is>
          <t>Pitch, gender, age, or accent shifted, and the preacher did not hand off the microphone. Write 1.</t>
        </is>
      </c>
    </row>
    <row r="25" ht="36" customHeight="1">
      <c r="A25" s="8" t="inlineStr">
        <is>
          <t>Hard to understand</t>
        </is>
      </c>
      <c r="B25" s="9" t="inlineStr">
        <is>
          <t>The words would not come clear, even when a meaning was present. How many is sentences.</t>
        </is>
      </c>
    </row>
    <row r="26" ht="36" customHeight="1">
      <c r="A26" s="8" t="inlineStr">
        <is>
          <t>Mixed language</t>
        </is>
      </c>
      <c r="B26" s="9" t="inlineStr">
        <is>
          <t>The headset spoke the sermon language, or mixed both languages. Write 1 for each time.</t>
        </is>
      </c>
    </row>
    <row r="27" ht="36" customHeight="1">
      <c r="A27" s="8" t="inlineStr">
        <is>
          <t>Lost the point</t>
        </is>
      </c>
      <c r="B27" s="9" t="inlineStr">
        <is>
          <t>You no longer knew what the preacher was saying. Write 1 for each time you had to find the thread again.</t>
        </is>
      </c>
    </row>
    <row r="28" ht="36" customHeight="1">
      <c r="A28" s="8" t="inlineStr">
        <is>
          <t>Latency</t>
        </is>
      </c>
      <c r="B28" s="9" t="inlineStr">
        <is>
          <t>Count full sentences the preacher has finished that the headset has not said yet. If the headset is still inside the current sentence, count words instead. Use the Latency sheet, not During.</t>
        </is>
      </c>
    </row>
    <row r="29" ht="36" customHeight="1">
      <c r="A29" s="8" t="inlineStr">
        <is>
          <t>Accuracy</t>
        </is>
      </c>
      <c r="B29" s="9" t="inlineStr">
        <is>
          <t>Talking minutes default to 30 inside a 40-minute sermon. Estimated sentences = talking minutes × 8. Accuracy uses wrong meaning plus names, numbers, and verses. Example: 240 sentences and 3 content errors is 98.8%.</t>
        </is>
      </c>
    </row>
  </sheetData>
  <mergeCells count="23">
    <mergeCell ref="A17:D17"/>
    <mergeCell ref="B23:D23"/>
    <mergeCell ref="B8:D8"/>
    <mergeCell ref="B29:D29"/>
    <mergeCell ref="A13:D13"/>
    <mergeCell ref="B10:D10"/>
    <mergeCell ref="B28:D28"/>
    <mergeCell ref="B9:D9"/>
    <mergeCell ref="A15:D15"/>
    <mergeCell ref="B6:D6"/>
    <mergeCell ref="B24:D24"/>
    <mergeCell ref="B20:D20"/>
    <mergeCell ref="A1:D1"/>
    <mergeCell ref="B5:D5"/>
    <mergeCell ref="B26:D26"/>
    <mergeCell ref="A16:D16"/>
    <mergeCell ref="B7:D7"/>
    <mergeCell ref="B25:D25"/>
    <mergeCell ref="B22:D22"/>
    <mergeCell ref="B27:D27"/>
    <mergeCell ref="B21:D21"/>
    <mergeCell ref="A2:D2"/>
    <mergeCell ref="A14:D14"/>
  </mergeCells>
  <dataValidations count="2">
    <dataValidation sqref="B7" showDropDown="0" showInputMessage="0" showErrorMessage="1" allowBlank="1" errorTitle="Pick from the list" error="Choose a value from the list." type="list">
      <formula1>"Chinese,English"</formula1>
    </dataValidation>
    <dataValidation sqref="B8" showDropDown="0" showInputMessage="0" showErrorMessage="1" allowBlank="1" errorTitle="Pick from the list" error="Choose a value from the list." type="list">
      <formula1>"Chinese → English,English → Chinese"</formula1>
    </dataValidation>
  </dataValidations>
  <pageMargins left="0.6" right="0.6" top="0.6" bottom="0.6" header="0.3" footer="0.3"/>
  <pageSetup orientation="portrait" paperSize="1" fitToHeight="0" fitToWidth="1"/>
  <headerFooter>
    <oddHeader>&amp;LSunday user test</oddHeader>
    <oddFooter>&amp;RPage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2"/>
  <sheetViews>
    <sheetView showGridLines="0" zoomScale="120" workbookViewId="0">
      <pane ySplit="4" topLeftCell="A5" activePane="bottomLeft" state="frozen"/>
      <selection pane="bottomLeft" activeCell="A1" sqref="A1"/>
    </sheetView>
  </sheetViews>
  <sheetFormatPr baseColWidth="8" defaultRowHeight="15"/>
  <cols>
    <col width="6" customWidth="1" min="1" max="1"/>
    <col width="62" customWidth="1" min="2" max="2"/>
    <col width="62" customWidth="1" min="3" max="3"/>
    <col width="14" customWidth="1" min="4" max="4"/>
    <col width="36" customWidth="1" min="5" max="5"/>
  </cols>
  <sheetData>
    <row r="1" ht="28" customHeight="1">
      <c r="A1" s="1" t="inlineStr">
        <is>
          <t>Before the sermon</t>
        </is>
      </c>
    </row>
    <row r="2">
      <c r="A2" s="2" t="inlineStr">
        <is>
          <t>Mark Pass or Fail. Chrome or Edge on the church computer.</t>
        </is>
      </c>
    </row>
    <row r="3"/>
    <row r="4">
      <c r="A4" s="10" t="inlineStr">
        <is>
          <t>#</t>
        </is>
      </c>
      <c r="B4" s="10" t="inlineStr">
        <is>
          <t>Task</t>
        </is>
      </c>
      <c r="C4" s="10" t="inlineStr">
        <is>
          <t>Pass when</t>
        </is>
      </c>
      <c r="D4" s="10" t="inlineStr">
        <is>
          <t>Result</t>
        </is>
      </c>
      <c r="E4" s="10" t="inlineStr">
        <is>
          <t>Notes</t>
        </is>
      </c>
    </row>
    <row r="5" ht="36" customHeight="1">
      <c r="A5" s="11" t="n">
        <v>1</v>
      </c>
      <c r="B5" s="12" t="inlineStr">
        <is>
          <t>Sign in with the church email and password.</t>
        </is>
      </c>
      <c r="C5" s="12" t="inlineStr">
        <is>
          <t>You reach Choose translation.</t>
        </is>
      </c>
      <c r="D5" s="13" t="n"/>
      <c r="E5" s="5" t="n"/>
    </row>
    <row r="6" ht="36" customHeight="1">
      <c r="A6" s="11" t="n">
        <v>2</v>
      </c>
      <c r="B6" s="12" t="inlineStr">
        <is>
          <t>Open Chinese and English.</t>
        </is>
      </c>
      <c r="C6" s="12" t="inlineStr">
        <is>
          <t>The page shows this church, direction, audio in, audio out, and Start translation.</t>
        </is>
      </c>
      <c r="D6" s="13" t="n"/>
      <c r="E6" s="5" t="n"/>
    </row>
    <row r="7" ht="36" customHeight="1">
      <c r="A7" s="11" t="n">
        <v>3</v>
      </c>
      <c r="B7" s="12" t="inlineStr">
        <is>
          <t>Choose the pulpit feed or mic, and the output that feeds the transmitter.</t>
        </is>
      </c>
      <c r="C7" s="12" t="inlineStr">
        <is>
          <t>Both are the devices you mean to use.</t>
        </is>
      </c>
      <c r="D7" s="13" t="n"/>
      <c r="E7" s="5" t="n"/>
    </row>
    <row r="8" ht="36" customHeight="1">
      <c r="A8" s="11" t="n">
        <v>4</v>
      </c>
      <c r="B8" s="12" t="inlineStr">
        <is>
          <t>Click Test sound and listen on that output.</t>
        </is>
      </c>
      <c r="C8" s="12" t="inlineStr">
        <is>
          <t>You hear a short chime. Translation stays off. If it is quiet, raise Output volume and test again until the chime is clear.</t>
        </is>
      </c>
      <c r="D8" s="13" t="n"/>
      <c r="E8" s="5" t="n"/>
    </row>
    <row r="9" ht="36" customHeight="1">
      <c r="A9" s="11" t="n">
        <v>5</v>
      </c>
      <c r="B9" s="12" t="inlineStr">
        <is>
          <t>Lock the direction to match this sermon: Chinese → English, or English → Chinese.</t>
        </is>
      </c>
      <c r="C9" s="12" t="inlineStr">
        <is>
          <t>The direction on screen matches the preacher.</t>
        </is>
      </c>
      <c r="D9" s="13" t="n"/>
      <c r="E9" s="5" t="n"/>
    </row>
    <row r="10" ht="36" customHeight="1">
      <c r="A10" s="11" t="n">
        <v>6</v>
      </c>
      <c r="B10" s="12" t="inlineStr">
        <is>
          <t>Click Start translation.</t>
        </is>
      </c>
      <c r="C10" s="12" t="inlineStr">
        <is>
          <t>Status becomes Live. While the preacher speaks, the input meter moves and Output says Sending translation.</t>
        </is>
      </c>
      <c r="D10" s="13" t="n"/>
      <c r="E10" s="5" t="n"/>
    </row>
    <row r="11" ht="36" customHeight="1">
      <c r="A11" s="11" t="n">
        <v>7</v>
      </c>
      <c r="B11" s="12" t="inlineStr">
        <is>
          <t>Scan the QR. When the phone says LIVE, tap Tap to Listen.</t>
        </is>
      </c>
      <c r="C11" s="12" t="inlineStr">
        <is>
          <t>The phone plays the translation.</t>
        </is>
      </c>
      <c r="D11" s="13" t="n"/>
      <c r="E11" s="5" t="n"/>
    </row>
    <row r="12" ht="36" customHeight="1">
      <c r="A12" s="11" t="n">
        <v>8</v>
      </c>
      <c r="B12" s="12" t="inlineStr">
        <is>
          <t>After the sermon, click Stop translation, then Sign out.</t>
        </is>
      </c>
      <c r="C12" s="12" t="inlineStr">
        <is>
          <t>Status returns to Off, the headset goes quiet, and you are back on the login page.</t>
        </is>
      </c>
      <c r="D12" s="13" t="n"/>
      <c r="E12" s="5" t="n"/>
    </row>
  </sheetData>
  <autoFilter ref="A4:E12"/>
  <mergeCells count="2">
    <mergeCell ref="A2:E2"/>
    <mergeCell ref="A1:E1"/>
  </mergeCells>
  <conditionalFormatting sqref="D5:D12">
    <cfRule type="expression" priority="1" dxfId="0">
      <formula>D5="Pass"</formula>
    </cfRule>
    <cfRule type="expression" priority="2" dxfId="1">
      <formula>D5="Fail"</formula>
    </cfRule>
  </conditionalFormatting>
  <dataValidations count="1">
    <dataValidation sqref="D5:D12" showDropDown="0" showInputMessage="0" showErrorMessage="1" allowBlank="1" errorTitle="Pick from the list" error="Choose a value from the list." type="list">
      <formula1>"Pass,Fail"</formula1>
    </dataValidation>
  </dataValidations>
  <pageMargins left="0.6" right="0.6" top="0.6" bottom="0.6" header="0.3" footer="0.3"/>
  <pageSetup orientation="landscape" paperSize="1" fitToHeight="1" fitToWidth="1"/>
  <headerFooter>
    <oddHeader>&amp;LSunday user test</oddHeader>
    <oddFooter>&amp;RPage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4"/>
  <sheetViews>
    <sheetView showGridLines="0" zoomScale="120" workbookViewId="0">
      <pane ySplit="4" topLeftCell="A5" activePane="bottomLeft" state="frozen"/>
      <selection pane="bottomLeft" activeCell="A1" sqref="A1"/>
    </sheetView>
  </sheetViews>
  <sheetFormatPr baseColWidth="8" defaultRowHeight="15"/>
  <cols>
    <col width="12" customWidth="1" min="1" max="1"/>
    <col width="28" customWidth="1" min="2" max="2"/>
    <col width="14" customWidth="1" min="3" max="3"/>
    <col width="42" customWidth="1" min="4" max="4"/>
    <col width="42" customWidth="1" min="5" max="5"/>
    <col width="12" customWidth="1" min="6" max="6"/>
  </cols>
  <sheetData>
    <row r="1" ht="28" customHeight="1">
      <c r="A1" s="1" t="inlineStr">
        <is>
          <t>During the sermon</t>
        </is>
      </c>
    </row>
    <row r="2" ht="48" customHeight="1">
      <c r="A2" s="14" t="inlineStr">
        <is>
          <t>One row per problem. Pick a type. How many is sentences for wrong meaning, names, breaks, and hard to understand. Write 1 for a glitch, a voice change, mixed language, or losing the point. Leave How many blank and Counted becomes 1. Leave unused rows blank.</t>
        </is>
      </c>
    </row>
    <row r="3"/>
    <row r="4">
      <c r="A4" s="10" t="inlineStr">
        <is>
          <t>Minute</t>
        </is>
      </c>
      <c r="B4" s="10" t="inlineStr">
        <is>
          <t>Type</t>
        </is>
      </c>
      <c r="C4" s="10" t="inlineStr">
        <is>
          <t>How many</t>
        </is>
      </c>
      <c r="D4" s="10" t="inlineStr">
        <is>
          <t>What you heard</t>
        </is>
      </c>
      <c r="E4" s="10" t="inlineStr">
        <is>
          <t>What happened</t>
        </is>
      </c>
      <c r="F4" s="10" t="inlineStr">
        <is>
          <t>Counted</t>
        </is>
      </c>
    </row>
    <row r="5" ht="22" customHeight="1">
      <c r="A5" s="15" t="n"/>
      <c r="B5" s="13" t="n"/>
      <c r="C5" s="15" t="n"/>
      <c r="D5" s="5" t="n"/>
      <c r="E5" s="5" t="n"/>
      <c r="F5" s="16">
        <f>IF(B5="","",IF(C5="",1,C5))</f>
        <v/>
      </c>
    </row>
    <row r="6" ht="22" customHeight="1">
      <c r="A6" s="15" t="n"/>
      <c r="B6" s="13" t="n"/>
      <c r="C6" s="15" t="n"/>
      <c r="D6" s="5" t="n"/>
      <c r="E6" s="5" t="n"/>
      <c r="F6" s="16">
        <f>IF(B6="","",IF(C6="",1,C6))</f>
        <v/>
      </c>
    </row>
    <row r="7" ht="22" customHeight="1">
      <c r="A7" s="15" t="n"/>
      <c r="B7" s="13" t="n"/>
      <c r="C7" s="15" t="n"/>
      <c r="D7" s="5" t="n"/>
      <c r="E7" s="5" t="n"/>
      <c r="F7" s="16">
        <f>IF(B7="","",IF(C7="",1,C7))</f>
        <v/>
      </c>
    </row>
    <row r="8" ht="22" customHeight="1">
      <c r="A8" s="15" t="n"/>
      <c r="B8" s="13" t="n"/>
      <c r="C8" s="15" t="n"/>
      <c r="D8" s="5" t="n"/>
      <c r="E8" s="5" t="n"/>
      <c r="F8" s="16">
        <f>IF(B8="","",IF(C8="",1,C8))</f>
        <v/>
      </c>
    </row>
    <row r="9" ht="22" customHeight="1">
      <c r="A9" s="15" t="n"/>
      <c r="B9" s="13" t="n"/>
      <c r="C9" s="15" t="n"/>
      <c r="D9" s="5" t="n"/>
      <c r="E9" s="5" t="n"/>
      <c r="F9" s="16">
        <f>IF(B9="","",IF(C9="",1,C9))</f>
        <v/>
      </c>
    </row>
    <row r="10" ht="22" customHeight="1">
      <c r="A10" s="15" t="n"/>
      <c r="B10" s="13" t="n"/>
      <c r="C10" s="15" t="n"/>
      <c r="D10" s="5" t="n"/>
      <c r="E10" s="5" t="n"/>
      <c r="F10" s="16">
        <f>IF(B10="","",IF(C10="",1,C10))</f>
        <v/>
      </c>
    </row>
    <row r="11" ht="22" customHeight="1">
      <c r="A11" s="15" t="n"/>
      <c r="B11" s="13" t="n"/>
      <c r="C11" s="15" t="n"/>
      <c r="D11" s="5" t="n"/>
      <c r="E11" s="5" t="n"/>
      <c r="F11" s="16">
        <f>IF(B11="","",IF(C11="",1,C11))</f>
        <v/>
      </c>
    </row>
    <row r="12" ht="22" customHeight="1">
      <c r="A12" s="15" t="n"/>
      <c r="B12" s="13" t="n"/>
      <c r="C12" s="15" t="n"/>
      <c r="D12" s="5" t="n"/>
      <c r="E12" s="5" t="n"/>
      <c r="F12" s="16">
        <f>IF(B12="","",IF(C12="",1,C12))</f>
        <v/>
      </c>
    </row>
    <row r="13" ht="22" customHeight="1">
      <c r="A13" s="15" t="n"/>
      <c r="B13" s="13" t="n"/>
      <c r="C13" s="15" t="n"/>
      <c r="D13" s="5" t="n"/>
      <c r="E13" s="5" t="n"/>
      <c r="F13" s="16">
        <f>IF(B13="","",IF(C13="",1,C13))</f>
        <v/>
      </c>
    </row>
    <row r="14" ht="22" customHeight="1">
      <c r="A14" s="15" t="n"/>
      <c r="B14" s="13" t="n"/>
      <c r="C14" s="15" t="n"/>
      <c r="D14" s="5" t="n"/>
      <c r="E14" s="5" t="n"/>
      <c r="F14" s="16">
        <f>IF(B14="","",IF(C14="",1,C14))</f>
        <v/>
      </c>
    </row>
    <row r="15" ht="22" customHeight="1">
      <c r="A15" s="15" t="n"/>
      <c r="B15" s="13" t="n"/>
      <c r="C15" s="15" t="n"/>
      <c r="D15" s="5" t="n"/>
      <c r="E15" s="5" t="n"/>
      <c r="F15" s="16">
        <f>IF(B15="","",IF(C15="",1,C15))</f>
        <v/>
      </c>
    </row>
    <row r="16" ht="22" customHeight="1">
      <c r="A16" s="15" t="n"/>
      <c r="B16" s="13" t="n"/>
      <c r="C16" s="15" t="n"/>
      <c r="D16" s="5" t="n"/>
      <c r="E16" s="5" t="n"/>
      <c r="F16" s="16">
        <f>IF(B16="","",IF(C16="",1,C16))</f>
        <v/>
      </c>
    </row>
    <row r="17" ht="22" customHeight="1">
      <c r="A17" s="15" t="n"/>
      <c r="B17" s="13" t="n"/>
      <c r="C17" s="15" t="n"/>
      <c r="D17" s="5" t="n"/>
      <c r="E17" s="5" t="n"/>
      <c r="F17" s="16">
        <f>IF(B17="","",IF(C17="",1,C17))</f>
        <v/>
      </c>
    </row>
    <row r="18" ht="22" customHeight="1">
      <c r="A18" s="15" t="n"/>
      <c r="B18" s="13" t="n"/>
      <c r="C18" s="15" t="n"/>
      <c r="D18" s="5" t="n"/>
      <c r="E18" s="5" t="n"/>
      <c r="F18" s="16">
        <f>IF(B18="","",IF(C18="",1,C18))</f>
        <v/>
      </c>
    </row>
    <row r="19" ht="22" customHeight="1">
      <c r="A19" s="15" t="n"/>
      <c r="B19" s="13" t="n"/>
      <c r="C19" s="15" t="n"/>
      <c r="D19" s="5" t="n"/>
      <c r="E19" s="5" t="n"/>
      <c r="F19" s="16">
        <f>IF(B19="","",IF(C19="",1,C19))</f>
        <v/>
      </c>
    </row>
    <row r="20" ht="22" customHeight="1">
      <c r="A20" s="15" t="n"/>
      <c r="B20" s="13" t="n"/>
      <c r="C20" s="15" t="n"/>
      <c r="D20" s="5" t="n"/>
      <c r="E20" s="5" t="n"/>
      <c r="F20" s="16">
        <f>IF(B20="","",IF(C20="",1,C20))</f>
        <v/>
      </c>
    </row>
    <row r="21" ht="22" customHeight="1">
      <c r="A21" s="15" t="n"/>
      <c r="B21" s="13" t="n"/>
      <c r="C21" s="15" t="n"/>
      <c r="D21" s="5" t="n"/>
      <c r="E21" s="5" t="n"/>
      <c r="F21" s="16">
        <f>IF(B21="","",IF(C21="",1,C21))</f>
        <v/>
      </c>
    </row>
    <row r="22" ht="22" customHeight="1">
      <c r="A22" s="15" t="n"/>
      <c r="B22" s="13" t="n"/>
      <c r="C22" s="15" t="n"/>
      <c r="D22" s="5" t="n"/>
      <c r="E22" s="5" t="n"/>
      <c r="F22" s="16">
        <f>IF(B22="","",IF(C22="",1,C22))</f>
        <v/>
      </c>
    </row>
    <row r="23" ht="22" customHeight="1">
      <c r="A23" s="15" t="n"/>
      <c r="B23" s="13" t="n"/>
      <c r="C23" s="15" t="n"/>
      <c r="D23" s="5" t="n"/>
      <c r="E23" s="5" t="n"/>
      <c r="F23" s="16">
        <f>IF(B23="","",IF(C23="",1,C23))</f>
        <v/>
      </c>
    </row>
    <row r="24" ht="22" customHeight="1">
      <c r="A24" s="15" t="n"/>
      <c r="B24" s="13" t="n"/>
      <c r="C24" s="15" t="n"/>
      <c r="D24" s="5" t="n"/>
      <c r="E24" s="5" t="n"/>
      <c r="F24" s="16">
        <f>IF(B24="","",IF(C24="",1,C24))</f>
        <v/>
      </c>
    </row>
    <row r="25" ht="22" customHeight="1">
      <c r="A25" s="15" t="n"/>
      <c r="B25" s="13" t="n"/>
      <c r="C25" s="15" t="n"/>
      <c r="D25" s="5" t="n"/>
      <c r="E25" s="5" t="n"/>
      <c r="F25" s="16">
        <f>IF(B25="","",IF(C25="",1,C25))</f>
        <v/>
      </c>
    </row>
    <row r="26" ht="22" customHeight="1">
      <c r="A26" s="15" t="n"/>
      <c r="B26" s="13" t="n"/>
      <c r="C26" s="15" t="n"/>
      <c r="D26" s="5" t="n"/>
      <c r="E26" s="5" t="n"/>
      <c r="F26" s="16">
        <f>IF(B26="","",IF(C26="",1,C26))</f>
        <v/>
      </c>
    </row>
    <row r="27" ht="22" customHeight="1">
      <c r="A27" s="15" t="n"/>
      <c r="B27" s="13" t="n"/>
      <c r="C27" s="15" t="n"/>
      <c r="D27" s="5" t="n"/>
      <c r="E27" s="5" t="n"/>
      <c r="F27" s="16">
        <f>IF(B27="","",IF(C27="",1,C27))</f>
        <v/>
      </c>
    </row>
    <row r="28" ht="22" customHeight="1">
      <c r="A28" s="15" t="n"/>
      <c r="B28" s="13" t="n"/>
      <c r="C28" s="15" t="n"/>
      <c r="D28" s="5" t="n"/>
      <c r="E28" s="5" t="n"/>
      <c r="F28" s="16">
        <f>IF(B28="","",IF(C28="",1,C28))</f>
        <v/>
      </c>
    </row>
    <row r="29" ht="22" customHeight="1">
      <c r="A29" s="15" t="n"/>
      <c r="B29" s="13" t="n"/>
      <c r="C29" s="15" t="n"/>
      <c r="D29" s="5" t="n"/>
      <c r="E29" s="5" t="n"/>
      <c r="F29" s="16">
        <f>IF(B29="","",IF(C29="",1,C29))</f>
        <v/>
      </c>
    </row>
    <row r="30" ht="22" customHeight="1">
      <c r="A30" s="15" t="n"/>
      <c r="B30" s="13" t="n"/>
      <c r="C30" s="15" t="n"/>
      <c r="D30" s="5" t="n"/>
      <c r="E30" s="5" t="n"/>
      <c r="F30" s="16">
        <f>IF(B30="","",IF(C30="",1,C30))</f>
        <v/>
      </c>
    </row>
    <row r="31" ht="22" customHeight="1">
      <c r="A31" s="15" t="n"/>
      <c r="B31" s="13" t="n"/>
      <c r="C31" s="15" t="n"/>
      <c r="D31" s="5" t="n"/>
      <c r="E31" s="5" t="n"/>
      <c r="F31" s="16">
        <f>IF(B31="","",IF(C31="",1,C31))</f>
        <v/>
      </c>
    </row>
    <row r="32" ht="22" customHeight="1">
      <c r="A32" s="15" t="n"/>
      <c r="B32" s="13" t="n"/>
      <c r="C32" s="15" t="n"/>
      <c r="D32" s="5" t="n"/>
      <c r="E32" s="5" t="n"/>
      <c r="F32" s="16">
        <f>IF(B32="","",IF(C32="",1,C32))</f>
        <v/>
      </c>
    </row>
    <row r="33" ht="22" customHeight="1">
      <c r="A33" s="15" t="n"/>
      <c r="B33" s="13" t="n"/>
      <c r="C33" s="15" t="n"/>
      <c r="D33" s="5" t="n"/>
      <c r="E33" s="5" t="n"/>
      <c r="F33" s="16">
        <f>IF(B33="","",IF(C33="",1,C33))</f>
        <v/>
      </c>
    </row>
    <row r="34" ht="22" customHeight="1">
      <c r="A34" s="15" t="n"/>
      <c r="B34" s="13" t="n"/>
      <c r="C34" s="15" t="n"/>
      <c r="D34" s="5" t="n"/>
      <c r="E34" s="5" t="n"/>
      <c r="F34" s="16">
        <f>IF(B34="","",IF(C34="",1,C34))</f>
        <v/>
      </c>
    </row>
    <row r="35" ht="22" customHeight="1">
      <c r="A35" s="15" t="n"/>
      <c r="B35" s="13" t="n"/>
      <c r="C35" s="15" t="n"/>
      <c r="D35" s="5" t="n"/>
      <c r="E35" s="5" t="n"/>
      <c r="F35" s="16">
        <f>IF(B35="","",IF(C35="",1,C35))</f>
        <v/>
      </c>
    </row>
    <row r="36" ht="22" customHeight="1">
      <c r="A36" s="15" t="n"/>
      <c r="B36" s="13" t="n"/>
      <c r="C36" s="15" t="n"/>
      <c r="D36" s="5" t="n"/>
      <c r="E36" s="5" t="n"/>
      <c r="F36" s="16">
        <f>IF(B36="","",IF(C36="",1,C36))</f>
        <v/>
      </c>
    </row>
    <row r="37" ht="22" customHeight="1">
      <c r="A37" s="15" t="n"/>
      <c r="B37" s="13" t="n"/>
      <c r="C37" s="15" t="n"/>
      <c r="D37" s="5" t="n"/>
      <c r="E37" s="5" t="n"/>
      <c r="F37" s="16">
        <f>IF(B37="","",IF(C37="",1,C37))</f>
        <v/>
      </c>
    </row>
    <row r="38" ht="22" customHeight="1">
      <c r="A38" s="15" t="n"/>
      <c r="B38" s="13" t="n"/>
      <c r="C38" s="15" t="n"/>
      <c r="D38" s="5" t="n"/>
      <c r="E38" s="5" t="n"/>
      <c r="F38" s="16">
        <f>IF(B38="","",IF(C38="",1,C38))</f>
        <v/>
      </c>
    </row>
    <row r="39" ht="22" customHeight="1">
      <c r="A39" s="15" t="n"/>
      <c r="B39" s="13" t="n"/>
      <c r="C39" s="15" t="n"/>
      <c r="D39" s="5" t="n"/>
      <c r="E39" s="5" t="n"/>
      <c r="F39" s="16">
        <f>IF(B39="","",IF(C39="",1,C39))</f>
        <v/>
      </c>
    </row>
    <row r="40" ht="22" customHeight="1">
      <c r="A40" s="15" t="n"/>
      <c r="B40" s="13" t="n"/>
      <c r="C40" s="15" t="n"/>
      <c r="D40" s="5" t="n"/>
      <c r="E40" s="5" t="n"/>
      <c r="F40" s="16">
        <f>IF(B40="","",IF(C40="",1,C40))</f>
        <v/>
      </c>
    </row>
    <row r="41" ht="22" customHeight="1">
      <c r="A41" s="15" t="n"/>
      <c r="B41" s="13" t="n"/>
      <c r="C41" s="15" t="n"/>
      <c r="D41" s="5" t="n"/>
      <c r="E41" s="5" t="n"/>
      <c r="F41" s="16">
        <f>IF(B41="","",IF(C41="",1,C41))</f>
        <v/>
      </c>
    </row>
    <row r="42" ht="22" customHeight="1">
      <c r="A42" s="15" t="n"/>
      <c r="B42" s="13" t="n"/>
      <c r="C42" s="15" t="n"/>
      <c r="D42" s="5" t="n"/>
      <c r="E42" s="5" t="n"/>
      <c r="F42" s="16">
        <f>IF(B42="","",IF(C42="",1,C42))</f>
        <v/>
      </c>
    </row>
    <row r="43" ht="22" customHeight="1">
      <c r="A43" s="15" t="n"/>
      <c r="B43" s="13" t="n"/>
      <c r="C43" s="15" t="n"/>
      <c r="D43" s="5" t="n"/>
      <c r="E43" s="5" t="n"/>
      <c r="F43" s="16">
        <f>IF(B43="","",IF(C43="",1,C43))</f>
        <v/>
      </c>
    </row>
    <row r="44" ht="22" customHeight="1">
      <c r="A44" s="15" t="n"/>
      <c r="B44" s="13" t="n"/>
      <c r="C44" s="15" t="n"/>
      <c r="D44" s="5" t="n"/>
      <c r="E44" s="5" t="n"/>
      <c r="F44" s="16">
        <f>IF(B44="","",IF(C44="",1,C44))</f>
        <v/>
      </c>
    </row>
    <row r="45" ht="22" customHeight="1">
      <c r="A45" s="15" t="n"/>
      <c r="B45" s="13" t="n"/>
      <c r="C45" s="15" t="n"/>
      <c r="D45" s="5" t="n"/>
      <c r="E45" s="5" t="n"/>
      <c r="F45" s="16">
        <f>IF(B45="","",IF(C45="",1,C45))</f>
        <v/>
      </c>
    </row>
    <row r="46" ht="22" customHeight="1">
      <c r="A46" s="15" t="n"/>
      <c r="B46" s="13" t="n"/>
      <c r="C46" s="15" t="n"/>
      <c r="D46" s="5" t="n"/>
      <c r="E46" s="5" t="n"/>
      <c r="F46" s="16">
        <f>IF(B46="","",IF(C46="",1,C46))</f>
        <v/>
      </c>
    </row>
    <row r="47" ht="22" customHeight="1">
      <c r="A47" s="15" t="n"/>
      <c r="B47" s="13" t="n"/>
      <c r="C47" s="15" t="n"/>
      <c r="D47" s="5" t="n"/>
      <c r="E47" s="5" t="n"/>
      <c r="F47" s="16">
        <f>IF(B47="","",IF(C47="",1,C47))</f>
        <v/>
      </c>
    </row>
    <row r="48" ht="22" customHeight="1">
      <c r="A48" s="15" t="n"/>
      <c r="B48" s="13" t="n"/>
      <c r="C48" s="15" t="n"/>
      <c r="D48" s="5" t="n"/>
      <c r="E48" s="5" t="n"/>
      <c r="F48" s="16">
        <f>IF(B48="","",IF(C48="",1,C48))</f>
        <v/>
      </c>
    </row>
    <row r="49" ht="22" customHeight="1">
      <c r="A49" s="15" t="n"/>
      <c r="B49" s="13" t="n"/>
      <c r="C49" s="15" t="n"/>
      <c r="D49" s="5" t="n"/>
      <c r="E49" s="5" t="n"/>
      <c r="F49" s="16">
        <f>IF(B49="","",IF(C49="",1,C49))</f>
        <v/>
      </c>
    </row>
    <row r="50" ht="22" customHeight="1">
      <c r="A50" s="15" t="n"/>
      <c r="B50" s="13" t="n"/>
      <c r="C50" s="15" t="n"/>
      <c r="D50" s="5" t="n"/>
      <c r="E50" s="5" t="n"/>
      <c r="F50" s="16">
        <f>IF(B50="","",IF(C50="",1,C50))</f>
        <v/>
      </c>
    </row>
    <row r="51" ht="22" customHeight="1">
      <c r="A51" s="15" t="n"/>
      <c r="B51" s="13" t="n"/>
      <c r="C51" s="15" t="n"/>
      <c r="D51" s="5" t="n"/>
      <c r="E51" s="5" t="n"/>
      <c r="F51" s="16">
        <f>IF(B51="","",IF(C51="",1,C51))</f>
        <v/>
      </c>
    </row>
    <row r="52" ht="22" customHeight="1">
      <c r="A52" s="15" t="n"/>
      <c r="B52" s="13" t="n"/>
      <c r="C52" s="15" t="n"/>
      <c r="D52" s="5" t="n"/>
      <c r="E52" s="5" t="n"/>
      <c r="F52" s="16">
        <f>IF(B52="","",IF(C52="",1,C52))</f>
        <v/>
      </c>
    </row>
    <row r="53" ht="22" customHeight="1">
      <c r="A53" s="15" t="n"/>
      <c r="B53" s="13" t="n"/>
      <c r="C53" s="15" t="n"/>
      <c r="D53" s="5" t="n"/>
      <c r="E53" s="5" t="n"/>
      <c r="F53" s="16">
        <f>IF(B53="","",IF(C53="",1,C53))</f>
        <v/>
      </c>
    </row>
    <row r="54" ht="22" customHeight="1">
      <c r="A54" s="15" t="n"/>
      <c r="B54" s="13" t="n"/>
      <c r="C54" s="15" t="n"/>
      <c r="D54" s="5" t="n"/>
      <c r="E54" s="5" t="n"/>
      <c r="F54" s="16">
        <f>IF(B54="","",IF(C54="",1,C54))</f>
        <v/>
      </c>
    </row>
    <row r="55" ht="22" customHeight="1">
      <c r="A55" s="15" t="n"/>
      <c r="B55" s="13" t="n"/>
      <c r="C55" s="15" t="n"/>
      <c r="D55" s="5" t="n"/>
      <c r="E55" s="5" t="n"/>
      <c r="F55" s="16">
        <f>IF(B55="","",IF(C55="",1,C55))</f>
        <v/>
      </c>
    </row>
    <row r="56" ht="22" customHeight="1">
      <c r="A56" s="15" t="n"/>
      <c r="B56" s="13" t="n"/>
      <c r="C56" s="15" t="n"/>
      <c r="D56" s="5" t="n"/>
      <c r="E56" s="5" t="n"/>
      <c r="F56" s="16">
        <f>IF(B56="","",IF(C56="",1,C56))</f>
        <v/>
      </c>
    </row>
    <row r="57" ht="22" customHeight="1">
      <c r="A57" s="15" t="n"/>
      <c r="B57" s="13" t="n"/>
      <c r="C57" s="15" t="n"/>
      <c r="D57" s="5" t="n"/>
      <c r="E57" s="5" t="n"/>
      <c r="F57" s="16">
        <f>IF(B57="","",IF(C57="",1,C57))</f>
        <v/>
      </c>
    </row>
    <row r="58" ht="22" customHeight="1">
      <c r="A58" s="15" t="n"/>
      <c r="B58" s="13" t="n"/>
      <c r="C58" s="15" t="n"/>
      <c r="D58" s="5" t="n"/>
      <c r="E58" s="5" t="n"/>
      <c r="F58" s="16">
        <f>IF(B58="","",IF(C58="",1,C58))</f>
        <v/>
      </c>
    </row>
    <row r="59" ht="22" customHeight="1">
      <c r="A59" s="15" t="n"/>
      <c r="B59" s="13" t="n"/>
      <c r="C59" s="15" t="n"/>
      <c r="D59" s="5" t="n"/>
      <c r="E59" s="5" t="n"/>
      <c r="F59" s="16">
        <f>IF(B59="","",IF(C59="",1,C59))</f>
        <v/>
      </c>
    </row>
    <row r="60" ht="22" customHeight="1">
      <c r="A60" s="15" t="n"/>
      <c r="B60" s="13" t="n"/>
      <c r="C60" s="15" t="n"/>
      <c r="D60" s="5" t="n"/>
      <c r="E60" s="5" t="n"/>
      <c r="F60" s="16">
        <f>IF(B60="","",IF(C60="",1,C60))</f>
        <v/>
      </c>
    </row>
    <row r="61" ht="22" customHeight="1">
      <c r="A61" s="15" t="n"/>
      <c r="B61" s="13" t="n"/>
      <c r="C61" s="15" t="n"/>
      <c r="D61" s="5" t="n"/>
      <c r="E61" s="5" t="n"/>
      <c r="F61" s="16">
        <f>IF(B61="","",IF(C61="",1,C61))</f>
        <v/>
      </c>
    </row>
    <row r="62" ht="22" customHeight="1">
      <c r="A62" s="15" t="n"/>
      <c r="B62" s="13" t="n"/>
      <c r="C62" s="15" t="n"/>
      <c r="D62" s="5" t="n"/>
      <c r="E62" s="5" t="n"/>
      <c r="F62" s="16">
        <f>IF(B62="","",IF(C62="",1,C62))</f>
        <v/>
      </c>
    </row>
    <row r="63" ht="22" customHeight="1">
      <c r="A63" s="15" t="n"/>
      <c r="B63" s="13" t="n"/>
      <c r="C63" s="15" t="n"/>
      <c r="D63" s="5" t="n"/>
      <c r="E63" s="5" t="n"/>
      <c r="F63" s="16">
        <f>IF(B63="","",IF(C63="",1,C63))</f>
        <v/>
      </c>
    </row>
    <row r="64" ht="22" customHeight="1">
      <c r="A64" s="15" t="n"/>
      <c r="B64" s="13" t="n"/>
      <c r="C64" s="15" t="n"/>
      <c r="D64" s="5" t="n"/>
      <c r="E64" s="5" t="n"/>
      <c r="F64" s="16">
        <f>IF(B64="","",IF(C64="",1,C64))</f>
        <v/>
      </c>
    </row>
    <row r="65" ht="22" customHeight="1">
      <c r="A65" s="15" t="n"/>
      <c r="B65" s="13" t="n"/>
      <c r="C65" s="15" t="n"/>
      <c r="D65" s="5" t="n"/>
      <c r="E65" s="5" t="n"/>
      <c r="F65" s="16">
        <f>IF(B65="","",IF(C65="",1,C65))</f>
        <v/>
      </c>
    </row>
    <row r="66" ht="22" customHeight="1">
      <c r="A66" s="15" t="n"/>
      <c r="B66" s="13" t="n"/>
      <c r="C66" s="15" t="n"/>
      <c r="D66" s="5" t="n"/>
      <c r="E66" s="5" t="n"/>
      <c r="F66" s="16">
        <f>IF(B66="","",IF(C66="",1,C66))</f>
        <v/>
      </c>
    </row>
    <row r="67" ht="22" customHeight="1">
      <c r="A67" s="15" t="n"/>
      <c r="B67" s="13" t="n"/>
      <c r="C67" s="15" t="n"/>
      <c r="D67" s="5" t="n"/>
      <c r="E67" s="5" t="n"/>
      <c r="F67" s="16">
        <f>IF(B67="","",IF(C67="",1,C67))</f>
        <v/>
      </c>
    </row>
    <row r="68" ht="22" customHeight="1">
      <c r="A68" s="15" t="n"/>
      <c r="B68" s="13" t="n"/>
      <c r="C68" s="15" t="n"/>
      <c r="D68" s="5" t="n"/>
      <c r="E68" s="5" t="n"/>
      <c r="F68" s="16">
        <f>IF(B68="","",IF(C68="",1,C68))</f>
        <v/>
      </c>
    </row>
    <row r="69" ht="22" customHeight="1">
      <c r="A69" s="15" t="n"/>
      <c r="B69" s="13" t="n"/>
      <c r="C69" s="15" t="n"/>
      <c r="D69" s="5" t="n"/>
      <c r="E69" s="5" t="n"/>
      <c r="F69" s="16">
        <f>IF(B69="","",IF(C69="",1,C69))</f>
        <v/>
      </c>
    </row>
    <row r="70" ht="22" customHeight="1">
      <c r="A70" s="15" t="n"/>
      <c r="B70" s="13" t="n"/>
      <c r="C70" s="15" t="n"/>
      <c r="D70" s="5" t="n"/>
      <c r="E70" s="5" t="n"/>
      <c r="F70" s="16">
        <f>IF(B70="","",IF(C70="",1,C70))</f>
        <v/>
      </c>
    </row>
    <row r="71" ht="22" customHeight="1">
      <c r="A71" s="15" t="n"/>
      <c r="B71" s="13" t="n"/>
      <c r="C71" s="15" t="n"/>
      <c r="D71" s="5" t="n"/>
      <c r="E71" s="5" t="n"/>
      <c r="F71" s="16">
        <f>IF(B71="","",IF(C71="",1,C71))</f>
        <v/>
      </c>
    </row>
    <row r="72" ht="22" customHeight="1">
      <c r="A72" s="15" t="n"/>
      <c r="B72" s="13" t="n"/>
      <c r="C72" s="15" t="n"/>
      <c r="D72" s="5" t="n"/>
      <c r="E72" s="5" t="n"/>
      <c r="F72" s="16">
        <f>IF(B72="","",IF(C72="",1,C72))</f>
        <v/>
      </c>
    </row>
    <row r="73" ht="22" customHeight="1">
      <c r="A73" s="15" t="n"/>
      <c r="B73" s="13" t="n"/>
      <c r="C73" s="15" t="n"/>
      <c r="D73" s="5" t="n"/>
      <c r="E73" s="5" t="n"/>
      <c r="F73" s="16">
        <f>IF(B73="","",IF(C73="",1,C73))</f>
        <v/>
      </c>
    </row>
    <row r="74" ht="22" customHeight="1">
      <c r="A74" s="15" t="n"/>
      <c r="B74" s="13" t="n"/>
      <c r="C74" s="15" t="n"/>
      <c r="D74" s="5" t="n"/>
      <c r="E74" s="5" t="n"/>
      <c r="F74" s="16">
        <f>IF(B74="","",IF(C74="",1,C74))</f>
        <v/>
      </c>
    </row>
    <row r="75" ht="22" customHeight="1">
      <c r="A75" s="15" t="n"/>
      <c r="B75" s="13" t="n"/>
      <c r="C75" s="15" t="n"/>
      <c r="D75" s="5" t="n"/>
      <c r="E75" s="5" t="n"/>
      <c r="F75" s="16">
        <f>IF(B75="","",IF(C75="",1,C75))</f>
        <v/>
      </c>
    </row>
    <row r="76" ht="22" customHeight="1">
      <c r="A76" s="15" t="n"/>
      <c r="B76" s="13" t="n"/>
      <c r="C76" s="15" t="n"/>
      <c r="D76" s="5" t="n"/>
      <c r="E76" s="5" t="n"/>
      <c r="F76" s="16">
        <f>IF(B76="","",IF(C76="",1,C76))</f>
        <v/>
      </c>
    </row>
    <row r="77" ht="22" customHeight="1">
      <c r="A77" s="15" t="n"/>
      <c r="B77" s="13" t="n"/>
      <c r="C77" s="15" t="n"/>
      <c r="D77" s="5" t="n"/>
      <c r="E77" s="5" t="n"/>
      <c r="F77" s="16">
        <f>IF(B77="","",IF(C77="",1,C77))</f>
        <v/>
      </c>
    </row>
    <row r="78" ht="22" customHeight="1">
      <c r="A78" s="15" t="n"/>
      <c r="B78" s="13" t="n"/>
      <c r="C78" s="15" t="n"/>
      <c r="D78" s="5" t="n"/>
      <c r="E78" s="5" t="n"/>
      <c r="F78" s="16">
        <f>IF(B78="","",IF(C78="",1,C78))</f>
        <v/>
      </c>
    </row>
    <row r="79" ht="22" customHeight="1">
      <c r="A79" s="15" t="n"/>
      <c r="B79" s="13" t="n"/>
      <c r="C79" s="15" t="n"/>
      <c r="D79" s="5" t="n"/>
      <c r="E79" s="5" t="n"/>
      <c r="F79" s="16">
        <f>IF(B79="","",IF(C79="",1,C79))</f>
        <v/>
      </c>
    </row>
    <row r="80" ht="22" customHeight="1">
      <c r="A80" s="15" t="n"/>
      <c r="B80" s="13" t="n"/>
      <c r="C80" s="15" t="n"/>
      <c r="D80" s="5" t="n"/>
      <c r="E80" s="5" t="n"/>
      <c r="F80" s="16">
        <f>IF(B80="","",IF(C80="",1,C80))</f>
        <v/>
      </c>
    </row>
    <row r="81" ht="22" customHeight="1">
      <c r="A81" s="15" t="n"/>
      <c r="B81" s="13" t="n"/>
      <c r="C81" s="15" t="n"/>
      <c r="D81" s="5" t="n"/>
      <c r="E81" s="5" t="n"/>
      <c r="F81" s="16">
        <f>IF(B81="","",IF(C81="",1,C81))</f>
        <v/>
      </c>
    </row>
    <row r="82" ht="22" customHeight="1">
      <c r="A82" s="15" t="n"/>
      <c r="B82" s="13" t="n"/>
      <c r="C82" s="15" t="n"/>
      <c r="D82" s="5" t="n"/>
      <c r="E82" s="5" t="n"/>
      <c r="F82" s="16">
        <f>IF(B82="","",IF(C82="",1,C82))</f>
        <v/>
      </c>
    </row>
    <row r="83" ht="22" customHeight="1">
      <c r="A83" s="15" t="n"/>
      <c r="B83" s="13" t="n"/>
      <c r="C83" s="15" t="n"/>
      <c r="D83" s="5" t="n"/>
      <c r="E83" s="5" t="n"/>
      <c r="F83" s="16">
        <f>IF(B83="","",IF(C83="",1,C83))</f>
        <v/>
      </c>
    </row>
    <row r="84" ht="22" customHeight="1">
      <c r="A84" s="15" t="n"/>
      <c r="B84" s="13" t="n"/>
      <c r="C84" s="15" t="n"/>
      <c r="D84" s="5" t="n"/>
      <c r="E84" s="5" t="n"/>
      <c r="F84" s="16">
        <f>IF(B84="","",IF(C84="",1,C84))</f>
        <v/>
      </c>
    </row>
  </sheetData>
  <autoFilter ref="A4:F84"/>
  <mergeCells count="2">
    <mergeCell ref="A2:F2"/>
    <mergeCell ref="A1:F1"/>
  </mergeCells>
  <dataValidations count="3">
    <dataValidation sqref="C5:C84" showDropDown="0" showInputMessage="0" showErrorMessage="0" allowBlank="1" errorTitle="How many" error="Enter how many sentences, or 1 for a single event." type="whole" operator="greaterThanOrEqual">
      <formula1>1</formula1>
    </dataValidation>
    <dataValidation sqref="A5:A84" showDropDown="0" showInputMessage="0" showErrorMessage="0" allowBlank="1" errorTitle="Minute" error="Enter the minute, or leave the row blank." type="whole" operator="greaterThanOrEqual">
      <formula1>0</formula1>
    </dataValidation>
    <dataValidation sqref="B5:B84" showDropDown="0" showInputMessage="0" showErrorMessage="1" allowBlank="1" errorTitle="Pick from the list" error="Choose a value from the list." type="list">
      <formula1>"Wrong meaning,Name / number / verse,Repeated phrase,Cut-off word,Garbled speech,Volume jump,Break,Voice change,Hard to understand,Mixed language,Lost the point"</formula1>
    </dataValidation>
  </dataValidations>
  <pageMargins left="0.6" right="0.6" top="0.6" bottom="0.6" header="0.3" footer="0.3"/>
  <pageSetup orientation="landscape" paperSize="1" fitToHeight="0" fitToWidth="1"/>
  <headerFooter>
    <oddHeader>&amp;LSunday user test&amp;CDuring the sermon</oddHeader>
    <oddFooter>&amp;RPage &amp;P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7"/>
  <sheetViews>
    <sheetView showGridLines="0" zoomScale="120" workbookViewId="0">
      <pane ySplit="4" topLeftCell="A5" activePane="bottomLeft" state="frozen"/>
      <selection pane="bottomLeft" activeCell="A1" sqref="A1"/>
    </sheetView>
  </sheetViews>
  <sheetFormatPr baseColWidth="8" defaultRowHeight="15"/>
  <cols>
    <col width="22" customWidth="1" min="1" max="1"/>
    <col width="22" customWidth="1" min="2" max="2"/>
    <col width="22" customWidth="1" min="3" max="3"/>
    <col width="55" customWidth="1" min="4" max="4"/>
  </cols>
  <sheetData>
    <row r="1" ht="28" customHeight="1">
      <c r="A1" s="1" t="inlineStr">
        <is>
          <t>Latency</t>
        </is>
      </c>
    </row>
    <row r="2" ht="48" customHeight="1">
      <c r="A2" s="14" t="inlineStr">
        <is>
          <t>Four checks, around minutes 10, 20, 30, and 40. Sentences behind means full sentences the preacher has finished that the headset has not said yet. Words behind is for when the headset is still inside the current sentence. Fill one number on each row.</t>
        </is>
      </c>
    </row>
    <row r="3"/>
    <row r="4">
      <c r="A4" s="10" t="inlineStr">
        <is>
          <t>Around minute</t>
        </is>
      </c>
      <c r="B4" s="10" t="inlineStr">
        <is>
          <t>Sentences behind</t>
        </is>
      </c>
      <c r="C4" s="10" t="inlineStr">
        <is>
          <t>Words behind</t>
        </is>
      </c>
      <c r="D4" s="10" t="inlineStr">
        <is>
          <t>What the preacher had just finished</t>
        </is>
      </c>
    </row>
    <row r="5" ht="24" customHeight="1">
      <c r="A5" s="15" t="n">
        <v>10</v>
      </c>
      <c r="B5" s="15" t="n"/>
      <c r="C5" s="15" t="n"/>
      <c r="D5" s="5" t="n"/>
    </row>
    <row r="6" ht="24" customHeight="1">
      <c r="A6" s="15" t="n">
        <v>20</v>
      </c>
      <c r="B6" s="15" t="n"/>
      <c r="C6" s="15" t="n"/>
      <c r="D6" s="5" t="n"/>
    </row>
    <row r="7" ht="24" customHeight="1">
      <c r="A7" s="15" t="n">
        <v>30</v>
      </c>
      <c r="B7" s="15" t="n"/>
      <c r="C7" s="15" t="n"/>
      <c r="D7" s="5" t="n"/>
    </row>
    <row r="8" ht="24" customHeight="1">
      <c r="A8" s="15" t="n">
        <v>40</v>
      </c>
      <c r="B8" s="15" t="n"/>
      <c r="C8" s="15" t="n"/>
      <c r="D8" s="5" t="n"/>
    </row>
    <row r="9"/>
    <row r="10">
      <c r="A10" s="3" t="inlineStr">
        <is>
          <t>Worst besides these checks</t>
        </is>
      </c>
    </row>
    <row r="11" ht="24" customHeight="1">
      <c r="A11" s="17" t="inlineStr">
        <is>
          <t>Worst you noticed</t>
        </is>
      </c>
      <c r="B11" s="15" t="n"/>
      <c r="C11" s="15" t="n"/>
      <c r="D11" s="5" t="n"/>
    </row>
    <row r="12"/>
    <row r="13">
      <c r="A13" s="3" t="inlineStr">
        <is>
          <t>This sermon</t>
        </is>
      </c>
    </row>
    <row r="14" ht="22" customHeight="1">
      <c r="A14" s="17" t="inlineStr">
        <is>
          <t>Average sentences behind</t>
        </is>
      </c>
      <c r="B14" s="18">
        <f>IF(COUNT(B5:B8)=0,"",AVERAGE(B5:B8))</f>
        <v/>
      </c>
      <c r="C14" s="25" t="n"/>
    </row>
    <row r="15" ht="22" customHeight="1">
      <c r="A15" s="17" t="inlineStr">
        <is>
          <t>Worst sentences behind</t>
        </is>
      </c>
      <c r="B15" s="16">
        <f>IF(COUNT(B5:B8)=0,"",MAX(B5:B8))</f>
        <v/>
      </c>
      <c r="C15" s="25" t="n"/>
    </row>
    <row r="16" ht="22" customHeight="1">
      <c r="A16" s="17" t="inlineStr">
        <is>
          <t>Average words behind</t>
        </is>
      </c>
      <c r="B16" s="18">
        <f>IF(COUNT(C5:C8)=0,"",AVERAGE(C5:C8))</f>
        <v/>
      </c>
      <c r="C16" s="25" t="n"/>
    </row>
    <row r="17" ht="22" customHeight="1">
      <c r="A17" s="17" t="inlineStr">
        <is>
          <t>Worst words behind</t>
        </is>
      </c>
      <c r="B17" s="16">
        <f>IF(COUNT(C5:C8)=0,"",MAX(C5:C8))</f>
        <v/>
      </c>
      <c r="C17" s="25" t="n"/>
    </row>
  </sheetData>
  <mergeCells count="6">
    <mergeCell ref="A1:D1"/>
    <mergeCell ref="B16:C16"/>
    <mergeCell ref="B15:C15"/>
    <mergeCell ref="B14:C14"/>
    <mergeCell ref="A2:D2"/>
    <mergeCell ref="B17:C17"/>
  </mergeCells>
  <dataValidations count="1">
    <dataValidation sqref="B5:C8 B11:C11" showDropDown="0" showInputMessage="0" showErrorMessage="0" allowBlank="1" errorTitle="Number" error="Enter a whole number, or leave the cell blank." type="whole" operator="greaterThanOrEqual">
      <formula1>0</formula1>
    </dataValidation>
  </dataValidations>
  <pageMargins left="0.6" right="0.6" top="0.6" bottom="0.6" header="0.3" footer="0.3"/>
  <pageSetup orientation="landscape" paperSize="1" fitToHeight="1" fitToWidth="1"/>
  <headerFooter>
    <oddHeader>&amp;LSunday user test</oddHeader>
    <oddFooter>&amp;RPage &amp;P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14"/>
  <sheetViews>
    <sheetView showGridLines="0" zoomScale="120" workbookViewId="0">
      <pane ySplit="4" topLeftCell="A5" activePane="bottomLeft" state="frozen"/>
      <selection pane="bottomLeft" activeCell="A1" sqref="A1"/>
    </sheetView>
  </sheetViews>
  <sheetFormatPr baseColWidth="8" defaultRowHeight="15"/>
  <cols>
    <col width="62" customWidth="1" min="1" max="1"/>
    <col width="14" customWidth="1" min="2" max="2"/>
    <col width="48" customWidth="1" min="3" max="3"/>
  </cols>
  <sheetData>
    <row r="1" ht="28" customHeight="1">
      <c r="A1" s="1" t="inlineStr">
        <is>
          <t>Operation and connection</t>
        </is>
      </c>
    </row>
    <row r="2" ht="36" customHeight="1">
      <c r="A2" s="14" t="inlineStr">
        <is>
          <t>Count each time the connection or the page needed a person. Leave 0 when it did not happen. The listener can add a note when the headset or the phone was the side that failed.</t>
        </is>
      </c>
    </row>
    <row r="3"/>
    <row r="4">
      <c r="A4" s="10" t="inlineStr">
        <is>
          <t>Event</t>
        </is>
      </c>
      <c r="B4" s="10" t="inlineStr">
        <is>
          <t>Times</t>
        </is>
      </c>
      <c r="C4" s="10" t="inlineStr">
        <is>
          <t>Notes</t>
        </is>
      </c>
    </row>
    <row r="5" ht="24" customHeight="1">
      <c r="A5" s="17" t="inlineStr">
        <is>
          <t>Left Live or showed Reconnecting</t>
        </is>
      </c>
      <c r="B5" s="15" t="n">
        <v>0</v>
      </c>
      <c r="C5" s="5" t="n"/>
    </row>
    <row r="6" ht="24" customHeight="1">
      <c r="A6" s="17" t="inlineStr">
        <is>
          <t>Clicked Reconnect or Start again</t>
        </is>
      </c>
      <c r="B6" s="15" t="n">
        <v>0</v>
      </c>
      <c r="C6" s="5" t="n"/>
    </row>
    <row r="7" ht="24" customHeight="1">
      <c r="A7" s="17" t="inlineStr">
        <is>
          <t>Phone stalled while the headset continued</t>
        </is>
      </c>
      <c r="B7" s="15" t="n">
        <v>0</v>
      </c>
      <c r="C7" s="5" t="n"/>
    </row>
    <row r="8" ht="24" customHeight="1">
      <c r="A8" s="17" t="inlineStr">
        <is>
          <t>Headset went quiet while the phone continued</t>
        </is>
      </c>
      <c r="B8" s="15" t="n">
        <v>0</v>
      </c>
      <c r="C8" s="5" t="n"/>
    </row>
    <row r="9" ht="24" customHeight="1">
      <c r="A9" s="17" t="inlineStr">
        <is>
          <t>Had to refresh the page</t>
        </is>
      </c>
      <c r="B9" s="15" t="n">
        <v>0</v>
      </c>
      <c r="C9" s="5" t="n"/>
    </row>
    <row r="10"/>
    <row r="11">
      <c r="A11" s="3" t="inlineStr">
        <is>
          <t>Whole sermon</t>
        </is>
      </c>
    </row>
    <row r="12" ht="24" customHeight="1">
      <c r="A12" s="17" t="inlineStr">
        <is>
          <t>Headset stayed usable the whole sermon</t>
        </is>
      </c>
      <c r="B12" s="13" t="n"/>
      <c r="C12" s="5" t="n"/>
    </row>
    <row r="13" ht="24" customHeight="1">
      <c r="A13" s="17" t="inlineStr">
        <is>
          <t>Phone stayed usable the whole sermon</t>
        </is>
      </c>
      <c r="B13" s="13" t="n"/>
      <c r="C13" s="5" t="n"/>
    </row>
    <row r="14" ht="24" customHeight="1">
      <c r="A14" s="17" t="inlineStr">
        <is>
          <t>Overall connection</t>
        </is>
      </c>
      <c r="B14" s="13" t="n"/>
      <c r="C14" s="5" t="n"/>
    </row>
  </sheetData>
  <mergeCells count="5">
    <mergeCell ref="B12"/>
    <mergeCell ref="B13"/>
    <mergeCell ref="A1:C1"/>
    <mergeCell ref="B14"/>
    <mergeCell ref="A2:C2"/>
  </mergeCells>
  <dataValidations count="3">
    <dataValidation sqref="B5:B9" showDropDown="0" showInputMessage="0" showErrorMessage="0" allowBlank="0" errorTitle="Times" error="Enter 0 when it did not happen." type="whole" operator="greaterThanOrEqual">
      <formula1>0</formula1>
    </dataValidation>
    <dataValidation sqref="B12:B13" showDropDown="0" showInputMessage="0" showErrorMessage="1" allowBlank="1" errorTitle="Pick from the list" error="Choose a value from the list." type="list">
      <formula1>"Yes,No"</formula1>
    </dataValidation>
    <dataValidation sqref="B14" showDropDown="0" showInputMessage="0" showErrorMessage="1" allowBlank="1" errorTitle="Pick from the list" error="Choose a value from the list." type="list">
      <formula1>"Smooth,Bumpy,Broke the sermon"</formula1>
    </dataValidation>
  </dataValidations>
  <pageMargins left="0.6" right="0.6" top="0.6" bottom="0.6" header="0.3" footer="0.3"/>
  <pageSetup orientation="landscape" paperSize="1" fitToHeight="1" fitToWidth="1"/>
  <headerFooter>
    <oddHeader>&amp;LSunday user test</oddHeader>
    <oddFooter>&amp;RPage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63"/>
  <sheetViews>
    <sheetView showGridLines="0" zoomScale="120" workbookViewId="0">
      <pane ySplit="3" topLeftCell="A4" activePane="bottomLeft" state="frozen"/>
      <selection pane="bottomLeft" activeCell="A1" sqref="A1"/>
    </sheetView>
  </sheetViews>
  <sheetFormatPr baseColWidth="8" defaultRowHeight="15"/>
  <cols>
    <col width="48" customWidth="1" min="1" max="1"/>
    <col width="16" customWidth="1" min="2" max="2"/>
    <col width="18" customWidth="1" min="3" max="3"/>
    <col width="22" customWidth="1" min="4" max="4"/>
    <col width="36" customWidth="1" min="5" max="5"/>
  </cols>
  <sheetData>
    <row r="1" ht="28" customHeight="1">
      <c r="A1" s="1" t="inlineStr">
        <is>
          <t>After the sermon</t>
        </is>
      </c>
    </row>
    <row r="2" ht="32" customHeight="1">
      <c r="A2" s="14" t="inlineStr">
        <is>
          <t>Gray cells read During, Latency, and Smoothness. Type the talking minutes if pauses were timed. Otherwise leave 30.</t>
        </is>
      </c>
    </row>
    <row r="3"/>
    <row r="4">
      <c r="A4" s="3" t="inlineStr">
        <is>
          <t>Accuracy</t>
        </is>
      </c>
    </row>
    <row r="5" ht="24" customHeight="1">
      <c r="A5" s="17" t="inlineStr">
        <is>
          <t>Talking minutes</t>
        </is>
      </c>
      <c r="B5" s="15" t="n">
        <v>30</v>
      </c>
      <c r="C5" s="2" t="inlineStr">
        <is>
          <t>Use 30 when pauses were not timed.</t>
        </is>
      </c>
    </row>
    <row r="6" ht="24" customHeight="1">
      <c r="A6" s="17" t="inlineStr">
        <is>
          <t>Sentences per talking minute</t>
        </is>
      </c>
      <c r="B6" s="15" t="n">
        <v>8</v>
      </c>
      <c r="C6" s="2" t="inlineStr">
        <is>
          <t>About 8 sentences a minute in Chinese or in English.</t>
        </is>
      </c>
    </row>
    <row r="7" ht="24" customHeight="1">
      <c r="A7" s="17" t="inlineStr">
        <is>
          <t>Estimated sentences</t>
        </is>
      </c>
      <c r="B7" s="16">
        <f>B5*B6</f>
        <v/>
      </c>
      <c r="C7" s="2" t="inlineStr">
        <is>
          <t>Talking minutes × 8.</t>
        </is>
      </c>
    </row>
    <row r="8" ht="24" customHeight="1">
      <c r="A8" s="17" t="inlineStr">
        <is>
          <t>Content errors</t>
        </is>
      </c>
      <c r="B8" s="16">
        <f>SUMIF(During!$B$5:$B$84,"Wrong meaning",During!$F$5:$F$84)+SUMIF(During!$B$5:$B$84,"Name / number / verse",During!$F$5:$F$84)</f>
        <v/>
      </c>
      <c r="C8" s="2" t="inlineStr">
        <is>
          <t>Wrong meaning, plus names, numbers, and verses.</t>
        </is>
      </c>
    </row>
    <row r="9" ht="30" customHeight="1">
      <c r="A9" s="17" t="inlineStr">
        <is>
          <t>Accuracy</t>
        </is>
      </c>
      <c r="B9" s="20">
        <f>IF(B7=0,"",(B7-B8)/B7)</f>
        <v/>
      </c>
      <c r="C9" s="2" t="inlineStr">
        <is>
          <t>(Estimated sentences − content errors) ÷ estimated sentences.</t>
        </is>
      </c>
    </row>
    <row r="10" ht="24" customHeight="1">
      <c r="A10" s="17" t="inlineStr">
        <is>
          <t>Sentences the listener could not use</t>
        </is>
      </c>
      <c r="B10" s="16">
        <f>B8+SUMIF(During!$B$5:$B$84,"Break",During!$F$5:$F$84)+SUMIF(During!$B$5:$B$84,"Hard to understand",During!$F$5:$F$84)</f>
        <v/>
      </c>
      <c r="C10" s="2" t="inlineStr">
        <is>
          <t>Content errors, plus sentences lost in breaks, plus sentences that were hard to understand.</t>
        </is>
      </c>
    </row>
    <row r="11"/>
    <row r="12">
      <c r="A12" s="3" t="inlineStr">
        <is>
          <t>What listeners noticed</t>
        </is>
      </c>
    </row>
    <row r="13">
      <c r="A13" s="10" t="inlineStr">
        <is>
          <t>What</t>
        </is>
      </c>
      <c r="B13" s="10" t="inlineStr">
        <is>
          <t>Times</t>
        </is>
      </c>
      <c r="C13" s="10" t="inlineStr">
        <is>
          <t>How many</t>
        </is>
      </c>
      <c r="D13" s="10" t="inlineStr">
        <is>
          <t>Per 10 minutes</t>
        </is>
      </c>
      <c r="E13" s="10" t="inlineStr">
        <is>
          <t>Listeners care because</t>
        </is>
      </c>
    </row>
    <row r="14" ht="22" customHeight="1">
      <c r="A14" s="17" t="inlineStr">
        <is>
          <t>Wrong meaning</t>
        </is>
      </c>
      <c r="B14" s="16">
        <f>COUNTIF(During!$B$5:$B$84,A14)</f>
        <v/>
      </c>
      <c r="C14" s="16">
        <f>SUMIF(During!$B$5:$B$84,A14,During!$F$5:$F$84)</f>
        <v/>
      </c>
      <c r="D14" s="18">
        <f>B14/4</f>
        <v/>
      </c>
      <c r="E14" s="2" t="inlineStr">
        <is>
          <t>The idea itself was wrong.</t>
        </is>
      </c>
    </row>
    <row r="15" ht="22" customHeight="1">
      <c r="A15" s="17" t="inlineStr">
        <is>
          <t>Name / number / verse</t>
        </is>
      </c>
      <c r="B15" s="16">
        <f>COUNTIF(During!$B$5:$B$84,A15)</f>
        <v/>
      </c>
      <c r="C15" s="16">
        <f>SUMIF(During!$B$5:$B$84,A15,During!$F$5:$F$84)</f>
        <v/>
      </c>
      <c r="D15" s="18">
        <f>B15/4</f>
        <v/>
      </c>
      <c r="E15" s="2" t="inlineStr">
        <is>
          <t>A wrong name or verse is obvious in the room.</t>
        </is>
      </c>
    </row>
    <row r="16" ht="22" customHeight="1">
      <c r="A16" s="17" t="inlineStr">
        <is>
          <t>Break</t>
        </is>
      </c>
      <c r="B16" s="16">
        <f>COUNTIF(During!$B$5:$B$84,A16)</f>
        <v/>
      </c>
      <c r="C16" s="16">
        <f>SUMIF(During!$B$5:$B$84,A16,During!$F$5:$F$84)</f>
        <v/>
      </c>
      <c r="D16" s="18">
        <f>B16/4</f>
        <v/>
      </c>
      <c r="E16" s="2" t="inlineStr">
        <is>
          <t>Silence while the preacher is still talking.</t>
        </is>
      </c>
    </row>
    <row r="17" ht="22" customHeight="1">
      <c r="A17" s="17" t="inlineStr">
        <is>
          <t>Repeated phrase</t>
        </is>
      </c>
      <c r="B17" s="16">
        <f>COUNTIF(During!$B$5:$B$84,A17)</f>
        <v/>
      </c>
      <c r="C17" s="16">
        <f>SUMIF(During!$B$5:$B$84,A17,During!$F$5:$F$84)</f>
        <v/>
      </c>
      <c r="D17" s="18">
        <f>B17/4</f>
        <v/>
      </c>
      <c r="E17" s="2" t="inlineStr">
        <is>
          <t>The same words came around again.</t>
        </is>
      </c>
    </row>
    <row r="18" ht="22" customHeight="1">
      <c r="A18" s="17" t="inlineStr">
        <is>
          <t>Cut-off word</t>
        </is>
      </c>
      <c r="B18" s="16">
        <f>COUNTIF(During!$B$5:$B$84,A18)</f>
        <v/>
      </c>
      <c r="C18" s="16">
        <f>SUMIF(During!$B$5:$B$84,A18,During!$F$5:$F$84)</f>
        <v/>
      </c>
      <c r="D18" s="18">
        <f>B18/4</f>
        <v/>
      </c>
      <c r="E18" s="2" t="inlineStr">
        <is>
          <t>A word started and did not finish.</t>
        </is>
      </c>
    </row>
    <row r="19" ht="22" customHeight="1">
      <c r="A19" s="17" t="inlineStr">
        <is>
          <t>Garbled speech</t>
        </is>
      </c>
      <c r="B19" s="16">
        <f>COUNTIF(During!$B$5:$B$84,A19)</f>
        <v/>
      </c>
      <c r="C19" s="16">
        <f>SUMIF(During!$B$5:$B$84,A19,During!$F$5:$F$84)</f>
        <v/>
      </c>
      <c r="D19" s="18">
        <f>B19/4</f>
        <v/>
      </c>
      <c r="E19" s="2" t="inlineStr">
        <is>
          <t>A burst could not be parsed as words.</t>
        </is>
      </c>
    </row>
    <row r="20" ht="22" customHeight="1">
      <c r="A20" s="17" t="inlineStr">
        <is>
          <t>Volume jump</t>
        </is>
      </c>
      <c r="B20" s="16">
        <f>COUNTIF(During!$B$5:$B$84,A20)</f>
        <v/>
      </c>
      <c r="C20" s="16">
        <f>SUMIF(During!$B$5:$B$84,A20,During!$F$5:$F$84)</f>
        <v/>
      </c>
      <c r="D20" s="18">
        <f>B20/4</f>
        <v/>
      </c>
      <c r="E20" s="2" t="inlineStr">
        <is>
          <t>Loudness leapt without anyone touching the knob.</t>
        </is>
      </c>
    </row>
    <row r="21" ht="22" customHeight="1">
      <c r="A21" s="17" t="inlineStr">
        <is>
          <t>Voice change</t>
        </is>
      </c>
      <c r="B21" s="16">
        <f>COUNTIF(During!$B$5:$B$84,A21)</f>
        <v/>
      </c>
      <c r="C21" s="16">
        <f>SUMIF(During!$B$5:$B$84,A21,During!$F$5:$F$84)</f>
        <v/>
      </c>
      <c r="D21" s="18">
        <f>B21/4</f>
        <v/>
      </c>
      <c r="E21" s="2" t="inlineStr">
        <is>
          <t>The speaker seemed to become someone else.</t>
        </is>
      </c>
    </row>
    <row r="22" ht="22" customHeight="1">
      <c r="A22" s="17" t="inlineStr">
        <is>
          <t>Hard to understand</t>
        </is>
      </c>
      <c r="B22" s="16">
        <f>COUNTIF(During!$B$5:$B$84,A22)</f>
        <v/>
      </c>
      <c r="C22" s="16">
        <f>SUMIF(During!$B$5:$B$84,A22,During!$F$5:$F$84)</f>
        <v/>
      </c>
      <c r="D22" s="18">
        <f>B22/4</f>
        <v/>
      </c>
      <c r="E22" s="2" t="inlineStr">
        <is>
          <t>Meaning may have been there, but the words were not clear.</t>
        </is>
      </c>
    </row>
    <row r="23" ht="22" customHeight="1">
      <c r="A23" s="17" t="inlineStr">
        <is>
          <t>Mixed language</t>
        </is>
      </c>
      <c r="B23" s="16">
        <f>COUNTIF(During!$B$5:$B$84,A23)</f>
        <v/>
      </c>
      <c r="C23" s="16">
        <f>SUMIF(During!$B$5:$B$84,A23,During!$F$5:$F$84)</f>
        <v/>
      </c>
      <c r="D23" s="18">
        <f>B23/4</f>
        <v/>
      </c>
      <c r="E23" s="2" t="inlineStr">
        <is>
          <t>The headset used the sermon language or mixed both.</t>
        </is>
      </c>
    </row>
    <row r="24" ht="22" customHeight="1">
      <c r="A24" s="17" t="inlineStr">
        <is>
          <t>Lost the point</t>
        </is>
      </c>
      <c r="B24" s="16">
        <f>COUNTIF(During!$B$5:$B$84,A24)</f>
        <v/>
      </c>
      <c r="C24" s="16">
        <f>SUMIF(During!$B$5:$B$84,A24,During!$F$5:$F$84)</f>
        <v/>
      </c>
      <c r="D24" s="18">
        <f>B24/4</f>
        <v/>
      </c>
      <c r="E24" s="2" t="inlineStr">
        <is>
          <t>The listener had to find the preacher's thread again.</t>
        </is>
      </c>
    </row>
    <row r="25" ht="22" customHeight="1">
      <c r="A25" s="17" t="inlineStr">
        <is>
          <t>All glitches</t>
        </is>
      </c>
      <c r="B25" s="16">
        <f>COUNTIF(During!$B$5:$B$84,"Repeated phrase")+COUNTIF(During!$B$5:$B$84,"Cut-off word")+COUNTIF(During!$B$5:$B$84,"Garbled speech")+COUNTIF(During!$B$5:$B$84,"Volume jump")</f>
        <v/>
      </c>
      <c r="C25" s="16">
        <f>SUMIF(During!$B$5:$B$84,"Repeated phrase",During!$F$5:$F$84)+SUMIF(During!$B$5:$B$84,"Cut-off word",During!$F$5:$F$84)+SUMIF(During!$B$5:$B$84,"Garbled speech",During!$F$5:$F$84)+SUMIF(During!$B$5:$B$84,"Volume jump",During!$F$5:$F$84)</f>
        <v/>
      </c>
      <c r="D25" s="18">
        <f>B25/4</f>
        <v/>
      </c>
      <c r="E25" s="2" t="inlineStr">
        <is>
          <t>Repeated phrases, cut-off words, garbled speech, and volume jumps.</t>
        </is>
      </c>
    </row>
    <row r="26"/>
    <row r="27">
      <c r="A27" s="3" t="inlineStr">
        <is>
          <t>Latency</t>
        </is>
      </c>
    </row>
    <row r="28">
      <c r="A28" s="10" t="inlineStr">
        <is>
          <t>Check</t>
        </is>
      </c>
      <c r="B28" s="10" t="inlineStr">
        <is>
          <t>Sentences</t>
        </is>
      </c>
      <c r="C28" s="10" t="inlineStr">
        <is>
          <t>Words</t>
        </is>
      </c>
    </row>
    <row r="29" ht="22" customHeight="1">
      <c r="A29" s="17" t="inlineStr">
        <is>
          <t>Average of the four checks</t>
        </is>
      </c>
      <c r="B29" s="18">
        <f>Latency!B14</f>
        <v/>
      </c>
      <c r="C29" s="18">
        <f>Latency!B16</f>
        <v/>
      </c>
    </row>
    <row r="30" ht="22" customHeight="1">
      <c r="A30" s="17" t="inlineStr">
        <is>
          <t>Worst of the four checks</t>
        </is>
      </c>
      <c r="B30" s="16">
        <f>Latency!B15</f>
        <v/>
      </c>
      <c r="C30" s="16">
        <f>Latency!B17</f>
        <v/>
      </c>
    </row>
    <row r="31" ht="22" customHeight="1">
      <c r="A31" s="17" t="inlineStr">
        <is>
          <t>Worst you noticed besides the checks</t>
        </is>
      </c>
      <c r="B31" s="16">
        <f>Latency!B11</f>
        <v/>
      </c>
      <c r="C31" s="16">
        <f>Latency!C11</f>
        <v/>
      </c>
    </row>
    <row r="32"/>
    <row r="33">
      <c r="A33" s="3" t="inlineStr">
        <is>
          <t>Operation and connection</t>
        </is>
      </c>
    </row>
    <row r="34">
      <c r="A34" s="10" t="inlineStr">
        <is>
          <t>Event</t>
        </is>
      </c>
      <c r="B34" s="10" t="inlineStr">
        <is>
          <t>Times</t>
        </is>
      </c>
    </row>
    <row r="35" ht="22" customHeight="1">
      <c r="A35" s="17" t="inlineStr">
        <is>
          <t>Left Live or showed Reconnecting</t>
        </is>
      </c>
      <c r="B35" s="16">
        <f>Smoothness!B5</f>
        <v/>
      </c>
    </row>
    <row r="36" ht="22" customHeight="1">
      <c r="A36" s="17" t="inlineStr">
        <is>
          <t>Clicked Reconnect or Start again</t>
        </is>
      </c>
      <c r="B36" s="16">
        <f>Smoothness!B6</f>
        <v/>
      </c>
    </row>
    <row r="37" ht="22" customHeight="1">
      <c r="A37" s="17" t="inlineStr">
        <is>
          <t>Phone stalled while the headset continued</t>
        </is>
      </c>
      <c r="B37" s="16">
        <f>Smoothness!B7</f>
        <v/>
      </c>
    </row>
    <row r="38" ht="22" customHeight="1">
      <c r="A38" s="17" t="inlineStr">
        <is>
          <t>Headset went quiet while the phone continued</t>
        </is>
      </c>
      <c r="B38" s="16">
        <f>Smoothness!B8</f>
        <v/>
      </c>
    </row>
    <row r="39" ht="22" customHeight="1">
      <c r="A39" s="17" t="inlineStr">
        <is>
          <t>Had to refresh the page</t>
        </is>
      </c>
      <c r="B39" s="16">
        <f>Smoothness!B9</f>
        <v/>
      </c>
    </row>
    <row r="40" ht="22" customHeight="1">
      <c r="A40" s="17" t="inlineStr">
        <is>
          <t>Headset stayed usable the whole sermon</t>
        </is>
      </c>
      <c r="B40" s="21">
        <f>Smoothness!B12</f>
        <v/>
      </c>
    </row>
    <row r="41" ht="22" customHeight="1">
      <c r="A41" s="17" t="inlineStr">
        <is>
          <t>Phone stayed usable the whole sermon</t>
        </is>
      </c>
      <c r="B41" s="21">
        <f>Smoothness!B13</f>
        <v/>
      </c>
    </row>
    <row r="42" ht="22" customHeight="1">
      <c r="A42" s="17" t="inlineStr">
        <is>
          <t>Overall connection</t>
        </is>
      </c>
      <c r="B42" s="21">
        <f>Smoothness!B14</f>
        <v/>
      </c>
    </row>
    <row r="43"/>
    <row r="44">
      <c r="A44" s="3" t="inlineStr">
        <is>
          <t>A more human voice would have</t>
        </is>
      </c>
    </row>
    <row r="45" ht="36" customHeight="1">
      <c r="A45" s="14" t="inlineStr">
        <is>
          <t>Mark Yes when this sermon had that quality. One steady voice, emphasis that follows the preacher, breaths, varied endings, natural names, and a pace that speeds up and slows down with the preacher make the voice sound less like AI.</t>
        </is>
      </c>
    </row>
    <row r="46">
      <c r="A46" s="10" t="inlineStr">
        <is>
          <t>Quality</t>
        </is>
      </c>
      <c r="B46" s="10" t="inlineStr">
        <is>
          <t>Today</t>
        </is>
      </c>
    </row>
    <row r="47" ht="22" customHeight="1">
      <c r="A47" s="22" t="inlineStr">
        <is>
          <t>Stayed one voice for the whole sermon</t>
        </is>
      </c>
      <c r="B47" s="13" t="n"/>
    </row>
    <row r="48" ht="22" customHeight="1">
      <c r="A48" s="22" t="inlineStr">
        <is>
          <t>Raised emphasis where the preacher raised it</t>
        </is>
      </c>
      <c r="B48" s="13" t="n"/>
    </row>
    <row r="49" ht="22" customHeight="1">
      <c r="A49" s="22" t="inlineStr">
        <is>
          <t>Paused and breathed between thoughts</t>
        </is>
      </c>
      <c r="B49" s="13" t="n"/>
    </row>
    <row r="50" ht="22" customHeight="1">
      <c r="A50" s="22" t="inlineStr">
        <is>
          <t>Ended sentences differently, some falling and some trailing off</t>
        </is>
      </c>
      <c r="B50" s="13" t="n"/>
    </row>
    <row r="51" ht="22" customHeight="1">
      <c r="A51" s="22" t="inlineStr">
        <is>
          <t>Said names, Bible books, and numbers the way a person would</t>
        </is>
      </c>
      <c r="B51" s="13" t="n"/>
    </row>
    <row r="52" ht="22" customHeight="1">
      <c r="A52" s="22" t="inlineStr">
        <is>
          <t>Sped up and slowed down with the preacher</t>
        </is>
      </c>
      <c r="B52" s="13" t="n"/>
    </row>
    <row r="53"/>
    <row r="54">
      <c r="A54" s="3" t="inlineStr">
        <is>
          <t>Listener ratings</t>
        </is>
      </c>
    </row>
    <row r="55" ht="24" customHeight="1">
      <c r="A55" s="17" t="inlineStr">
        <is>
          <t>Loudness</t>
        </is>
      </c>
      <c r="B55" s="13" t="n"/>
    </row>
    <row r="56" ht="24" customHeight="1">
      <c r="A56" s="17" t="inlineStr">
        <is>
          <t>Listening was tiring</t>
        </is>
      </c>
      <c r="B56" s="13" t="n"/>
    </row>
    <row r="57" ht="24" customHeight="1">
      <c r="A57" s="17" t="inlineStr">
        <is>
          <t>I could follow the sermon</t>
        </is>
      </c>
      <c r="B57" s="13" t="n"/>
    </row>
    <row r="58" ht="24" customHeight="1">
      <c r="A58" s="17" t="inlineStr">
        <is>
          <t>I would wear this headset for a sermon</t>
        </is>
      </c>
      <c r="B58" s="13" t="n"/>
    </row>
    <row r="59"/>
    <row r="60">
      <c r="A60" s="3" t="inlineStr">
        <is>
          <t>It still sounded like AI because</t>
        </is>
      </c>
    </row>
    <row r="61" ht="20" customHeight="1">
      <c r="A61" s="23" t="n"/>
      <c r="B61" s="26" t="n"/>
      <c r="C61" s="26" t="n"/>
      <c r="D61" s="26" t="n"/>
      <c r="E61" s="27" t="n"/>
    </row>
    <row r="62" ht="20" customHeight="1">
      <c r="A62" s="28" t="n"/>
      <c r="E62" s="29" t="n"/>
    </row>
    <row r="63" ht="20" customHeight="1">
      <c r="A63" s="30" t="n"/>
      <c r="B63" s="31" t="n"/>
      <c r="C63" s="31" t="n"/>
      <c r="D63" s="31" t="n"/>
      <c r="E63" s="32" t="n"/>
    </row>
  </sheetData>
  <mergeCells count="10">
    <mergeCell ref="C5:E5"/>
    <mergeCell ref="A2:E2"/>
    <mergeCell ref="C8:E8"/>
    <mergeCell ref="A61:E63"/>
    <mergeCell ref="C9:E9"/>
    <mergeCell ref="A1:E1"/>
    <mergeCell ref="A45:E45"/>
    <mergeCell ref="C7:E7"/>
    <mergeCell ref="C6:E6"/>
    <mergeCell ref="C10:E10"/>
  </mergeCells>
  <dataValidations count="7">
    <dataValidation sqref="B5" showDropDown="0" showInputMessage="0" showErrorMessage="0" allowBlank="0" errorTitle="Talking minutes" error="Enter the minutes the preacher was actually talking." type="decimal" operator="greaterThan">
      <formula1>0</formula1>
    </dataValidation>
    <dataValidation sqref="B6" showDropDown="0" showInputMessage="0" showErrorMessage="0" allowBlank="0" errorTitle="Sentence rate" error="Enter how many sentences you hear in one talking minute." type="decimal" operator="greaterThan">
      <formula1>0</formula1>
    </dataValidation>
    <dataValidation sqref="B47:B52" showDropDown="0" showInputMessage="0" showErrorMessage="1" allowBlank="1" errorTitle="Pick from the list" error="Choose a value from the list." type="list">
      <formula1>"Yes,No"</formula1>
    </dataValidation>
    <dataValidation sqref="B55" showDropDown="0" showInputMessage="0" showErrorMessage="1" allowBlank="1" errorTitle="Pick from the list" error="Choose a value from the list." type="list">
      <formula1>"Comfortable,Too quiet,Too loud,Kept jumping"</formula1>
    </dataValidation>
    <dataValidation sqref="B56" showDropDown="0" showInputMessage="0" showErrorMessage="1" allowBlank="1" errorTitle="Pick from the list" error="Choose a value from the list." type="list">
      <formula1>"Yes,No"</formula1>
    </dataValidation>
    <dataValidation sqref="B57" showDropDown="0" showInputMessage="0" showErrorMessage="1" allowBlank="1" errorTitle="Pick from the list" error="Choose a value from the list." type="list">
      <formula1>"Yes,Mostly,No"</formula1>
    </dataValidation>
    <dataValidation sqref="B58" showDropDown="0" showInputMessage="0" showErrorMessage="1" allowBlank="1" errorTitle="Pick from the list" error="Choose a value from the list." type="list">
      <formula1>"Yes,No"</formula1>
    </dataValidation>
  </dataValidations>
  <pageMargins left="0.6" right="0.6" top="0.6" bottom="0.6" header="0.3" footer="0.3"/>
  <pageSetup orientation="portrait" paperSize="1" fitToHeight="0" fitToWidth="1"/>
  <headerFooter>
    <oddHeader>&amp;LSunday user test</oddHeader>
    <oddFooter>&amp;RPage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2026-10-26T02:19:13Z</dcterms:created>
  <dcterms:modified xsi:type="dcterms:W3CDTF">2026-10-26T02:26:49Z</dcterms:modified>
</cp:coreProperties>
</file>